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zelicznik Jednostek" sheetId="1" state="visible" r:id="rId1"/>
    <sheet xmlns:r="http://schemas.openxmlformats.org/officeDocument/2006/relationships" name="Skala IF (Fujita)" sheetId="2" state="visible" r:id="rId2"/>
    <sheet xmlns:r="http://schemas.openxmlformats.org/officeDocument/2006/relationships" name="Kalkulator LCL i Odczuwalne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2"/>
    </font>
    <font>
      <b val="1"/>
      <color rgb="00FFFFFF"/>
    </font>
    <font>
      <i val="1"/>
      <color rgb="00595959"/>
      <sz val="9"/>
    </font>
    <font>
      <b val="1"/>
      <color rgb="00385723"/>
      <sz val="11"/>
    </font>
    <font>
      <b val="1"/>
      <color rgb="0038572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3857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Antigravity Meteo Agent</author>
  </authors>
  <commentList>
    <comment ref="F5" authorId="0" shapeId="0">
      <text>
        <t>Współczynniki konwersji ze źródła allmetsat:
- 1 kt = 1.852 km/h
- 1 m/s = 3.6 km/h</t>
      </text>
    </comment>
    <comment ref="F6" authorId="0" shapeId="0">
      <text>
        <t>Współczynniki konwersji ze źródła allmetsat:
- 1 kt = 1.852 km/h
- 1 m/s = 3.6 km/h</t>
      </text>
    </comment>
    <comment ref="F7" authorId="0" shapeId="0">
      <text>
        <t>Współczynniki konwersji ze źródła allmetsat:
- 1 kt = 1.852 km/h
- 1 m/s = 3.6 km/h</t>
      </text>
    </comment>
    <comment ref="F12" authorId="0" shapeId="0">
      <text>
        <t>Współczynniki konwersji ze źródła allmetsat:
- 1 inHg = 33.86 hPa
- 1 atm = 1013.25 hPa</t>
      </text>
    </comment>
    <comment ref="F13" authorId="0" shapeId="0">
      <text>
        <t>Współczynniki konwersji ze źródła allmetsat:
- 1 inHg = 33.86 hPa
- 1 atm = 1013.25 hPa</t>
      </text>
    </comment>
    <comment ref="F14" authorId="0" shapeId="0">
      <text>
        <t>Współczynniki konwersji ze źródła allmetsat:
- 1 inHg = 33.86 hPa
- 1 atm = 1013.25 hPa</t>
      </text>
    </comment>
  </commentList>
</comments>
</file>

<file path=xl/comments/comment2.xml><?xml version="1.0" encoding="utf-8"?>
<comments xmlns="http://schemas.openxmlformats.org/spreadsheetml/2006/main">
  <authors>
    <author>Antigravity Meteo Agent</author>
  </authors>
  <commentList>
    <comment ref="G4" authorId="0" shapeId="0">
      <text>
        <t>Źródło: ESSL (European Severe Storms Laboratory) - International Fujita Scale Draft Standard. Przeliczniki: 1 kt = 1.852 km/h; 1 m/s = 3.6 km/h (allmetsat).</t>
      </text>
    </comment>
    <comment ref="G5" authorId="0" shapeId="0">
      <text>
        <t>Źródło: ESSL (European Severe Storms Laboratory) - International Fujita Scale Draft Standard. Przeliczniki: 1 kt = 1.852 km/h; 1 m/s = 3.6 km/h (allmetsat).</t>
      </text>
    </comment>
    <comment ref="G6" authorId="0" shapeId="0">
      <text>
        <t>Źródło: ESSL (European Severe Storms Laboratory) - International Fujita Scale Draft Standard. Przeliczniki: 1 kt = 1.852 km/h; 1 m/s = 3.6 km/h (allmetsat).</t>
      </text>
    </comment>
    <comment ref="G7" authorId="0" shapeId="0">
      <text>
        <t>Źródło: ESSL (European Severe Storms Laboratory) - International Fujita Scale Draft Standard. Przeliczniki: 1 kt = 1.852 km/h; 1 m/s = 3.6 km/h (allmetsat).</t>
      </text>
    </comment>
    <comment ref="G8" authorId="0" shapeId="0">
      <text>
        <t>Źródło: ESSL (European Severe Storms Laboratory) - International Fujita Scale Draft Standard. Przeliczniki: 1 kt = 1.852 km/h; 1 m/s = 3.6 km/h (allmetsat).</t>
      </text>
    </comment>
    <comment ref="G9" authorId="0" shapeId="0">
      <text>
        <t>Źródło: ESSL (European Severe Storms Laboratory) - International Fujita Scale Draft Standard. Przeliczniki: 1 kt = 1.852 km/h; 1 m/s = 3.6 km/h (allmetsat).</t>
      </text>
    </comment>
    <comment ref="G10" authorId="0" shapeId="0">
      <text>
        <t>Źródło: ESSL (European Severe Storms Laboratory) - International Fujita Scale Draft Standard. Przeliczniki: 1 kt = 1.852 km/h; 1 m/s = 3.6 km/h (allmetsat).</t>
      </text>
    </comment>
    <comment ref="G11" authorId="0" shapeId="0">
      <text>
        <t>Źródło: ESSL (European Severe Storms Laboratory) - International Fujita Scale Draft Standard. Przeliczniki: 1 kt = 1.852 km/h; 1 m/s = 3.6 km/h (allmetsat).</t>
      </text>
    </comment>
    <comment ref="G12" authorId="0" shapeId="0">
      <text>
        <t>Źródło: ESSL (European Severe Storms Laboratory) - International Fujita Scale Draft Standard. Przeliczniki: 1 kt = 1.852 km/h; 1 m/s = 3.6 km/h (allmetsat).</t>
      </text>
    </comment>
  </commentList>
</comments>
</file>

<file path=xl/comments/comment3.xml><?xml version="1.0" encoding="utf-8"?>
<comments xmlns="http://schemas.openxmlformats.org/spreadsheetml/2006/main">
  <authors>
    <author>Antigravity Meteo Agent</author>
  </authors>
  <commentList>
    <comment ref="C6" authorId="0" shapeId="0">
      <text>
        <t>Zależność Espy'ego wyznacza przybliżony poziom kondensacji z podnoszenia (LCL) dla cząstki konwekcyjnej przy ziemi.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4" customWidth="1" min="3" max="3"/>
    <col width="14" customWidth="1" min="4" max="4"/>
    <col width="20" customWidth="1" min="5" max="5"/>
    <col width="55" customWidth="1" min="6" max="6"/>
  </cols>
  <sheetData>
    <row r="1">
      <c r="A1" s="1" t="inlineStr">
        <is>
          <t>PRZELICZNIK JEDNOSTEK METEOROLOGICZNYCH</t>
        </is>
      </c>
    </row>
    <row r="2"/>
    <row r="3">
      <c r="A3" s="2" t="inlineStr">
        <is>
          <t>PRĘDKOŚĆ WIATRU</t>
        </is>
      </c>
    </row>
    <row r="4">
      <c r="A4" s="3" t="inlineStr">
        <is>
          <t>Wartość wejściowa</t>
        </is>
      </c>
      <c r="B4" s="3" t="inlineStr">
        <is>
          <t>Jednostka wej.</t>
        </is>
      </c>
      <c r="C4" s="3" t="inlineStr">
        <is>
          <t>Wynik km/h</t>
        </is>
      </c>
      <c r="D4" s="3" t="inlineStr">
        <is>
          <t>Wynik m/s</t>
        </is>
      </c>
      <c r="E4" s="3" t="inlineStr">
        <is>
          <t>Wynik węzły (kt)</t>
        </is>
      </c>
      <c r="F4" s="3" t="inlineStr">
        <is>
          <t>Źródło przelicznika</t>
        </is>
      </c>
    </row>
    <row r="5">
      <c r="A5" s="4" t="n">
        <v>100</v>
      </c>
      <c r="B5" s="4" t="inlineStr">
        <is>
          <t>km/h</t>
        </is>
      </c>
      <c r="C5" s="4">
        <f>A5</f>
        <v/>
      </c>
      <c r="D5" s="4">
        <f>A5/3.6</f>
        <v/>
      </c>
      <c r="E5" s="4">
        <f>A5/1.852</f>
        <v/>
      </c>
      <c r="F5" s="5" t="inlineStr">
        <is>
          <t>1 m/s = 3.6 km/h; 1 kt = 1.852 km/h (allmetsat)</t>
        </is>
      </c>
    </row>
    <row r="6">
      <c r="A6" s="4" t="n">
        <v>25</v>
      </c>
      <c r="B6" s="4" t="inlineStr">
        <is>
          <t>m/s</t>
        </is>
      </c>
      <c r="C6" s="4">
        <f>A6*3.6</f>
        <v/>
      </c>
      <c r="D6" s="4">
        <f>A6</f>
        <v/>
      </c>
      <c r="E6" s="4">
        <f>(A6*3.6)/1.852</f>
        <v/>
      </c>
      <c r="F6" s="5" t="inlineStr">
        <is>
          <t>1 m/s = 3.6 km/h; 1 kt = 1.852 km/h (allmetsat)</t>
        </is>
      </c>
    </row>
    <row r="7">
      <c r="A7" s="4" t="n">
        <v>50</v>
      </c>
      <c r="B7" s="4" t="inlineStr">
        <is>
          <t>kt</t>
        </is>
      </c>
      <c r="C7" s="4">
        <f>A7*1.852</f>
        <v/>
      </c>
      <c r="D7" s="4">
        <f>(A7*1.852)/3.6</f>
        <v/>
      </c>
      <c r="E7" s="4">
        <f>A7</f>
        <v/>
      </c>
      <c r="F7" s="5" t="inlineStr">
        <is>
          <t>1 kt = 1.852 km/h (allmetsat)</t>
        </is>
      </c>
    </row>
    <row r="8"/>
    <row r="9"/>
    <row r="10">
      <c r="A10" s="2" t="inlineStr">
        <is>
          <t>CIŚNIENIE ATMOSFERYCZNE</t>
        </is>
      </c>
    </row>
    <row r="11">
      <c r="A11" s="3" t="inlineStr">
        <is>
          <t>Wartość wejściowa</t>
        </is>
      </c>
      <c r="B11" s="3" t="inlineStr">
        <is>
          <t>Jednostka wej.</t>
        </is>
      </c>
      <c r="C11" s="3" t="inlineStr">
        <is>
          <t>Wynik hPa</t>
        </is>
      </c>
      <c r="D11" s="3" t="inlineStr">
        <is>
          <t>Wynik inHg</t>
        </is>
      </c>
      <c r="E11" s="3" t="inlineStr">
        <is>
          <t>Wynik atm</t>
        </is>
      </c>
      <c r="F11" s="3" t="inlineStr">
        <is>
          <t>Źródło przelicznika</t>
        </is>
      </c>
    </row>
    <row r="12">
      <c r="A12" s="4" t="n">
        <v>1013.25</v>
      </c>
      <c r="B12" s="4" t="inlineStr">
        <is>
          <t>hPa</t>
        </is>
      </c>
      <c r="C12" s="4">
        <f>A12</f>
        <v/>
      </c>
      <c r="D12" s="4">
        <f>A12/33.86389</f>
        <v/>
      </c>
      <c r="E12" s="4">
        <f>A12/1013.25</f>
        <v/>
      </c>
      <c r="F12" s="5" t="inlineStr">
        <is>
          <t>1 inHg = 33.86 hPa; 1 atm = 1013.25 hPa (allmetsat)</t>
        </is>
      </c>
    </row>
    <row r="13">
      <c r="A13" s="4" t="n">
        <v>29.92</v>
      </c>
      <c r="B13" s="4" t="inlineStr">
        <is>
          <t>inHg</t>
        </is>
      </c>
      <c r="C13" s="4">
        <f>A13*33.86389</f>
        <v/>
      </c>
      <c r="D13" s="4">
        <f>A13</f>
        <v/>
      </c>
      <c r="E13" s="4">
        <f>(A13*33.86389)/1013.25</f>
        <v/>
      </c>
      <c r="F13" s="5" t="inlineStr">
        <is>
          <t>1 inHg = 33.86 hPa (allmetsat)</t>
        </is>
      </c>
    </row>
    <row r="14">
      <c r="A14" s="4" t="n">
        <v>1</v>
      </c>
      <c r="B14" s="4" t="inlineStr">
        <is>
          <t>atm</t>
        </is>
      </c>
      <c r="C14" s="4">
        <f>A14*1013.25</f>
        <v/>
      </c>
      <c r="D14" s="4">
        <f>(A14*1013.25)/33.86389</f>
        <v/>
      </c>
      <c r="E14" s="4">
        <f>A14</f>
        <v/>
      </c>
      <c r="F14" s="5" t="inlineStr">
        <is>
          <t>1 atm = 1013.25 hPa (allmetsat)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19" customWidth="1" min="4" max="4"/>
    <col width="19" customWidth="1" min="5" max="5"/>
    <col width="18" customWidth="1" min="6" max="6"/>
    <col width="90" customWidth="1" min="7" max="7"/>
  </cols>
  <sheetData>
    <row r="1">
      <c r="A1" s="6" t="inlineStr">
        <is>
          <t>KLASYFIKACJA SZKÓD W SKALI INTERNATIONAL FUJITA (IF-SCALE)</t>
        </is>
      </c>
    </row>
    <row r="2"/>
    <row r="3">
      <c r="A3" s="7" t="inlineStr">
        <is>
          <t>Stopień IF</t>
        </is>
      </c>
      <c r="B3" s="7" t="inlineStr">
        <is>
          <t>Wiatr min (km/h)</t>
        </is>
      </c>
      <c r="C3" s="7" t="inlineStr">
        <is>
          <t>Wiatr max (km/h)</t>
        </is>
      </c>
      <c r="D3" s="7" t="inlineStr">
        <is>
          <t>Wiatr min (m/s)</t>
        </is>
      </c>
      <c r="E3" s="7" t="inlineStr">
        <is>
          <t>Wiatr max (m/s)</t>
        </is>
      </c>
      <c r="F3" s="7" t="inlineStr">
        <is>
          <t>Wiatr min (kt)</t>
        </is>
      </c>
      <c r="G3" s="7" t="inlineStr">
        <is>
          <t>Opis Zniszczeń i Kryteria (ESSL)</t>
        </is>
      </c>
    </row>
    <row r="4">
      <c r="A4" s="4" t="inlineStr">
        <is>
          <t>IF0</t>
        </is>
      </c>
      <c r="B4" s="4" t="n">
        <v>90</v>
      </c>
      <c r="C4" s="4" t="n">
        <v>125</v>
      </c>
      <c r="D4" s="4">
        <f>B4/3.6</f>
        <v/>
      </c>
      <c r="E4" s="4">
        <f>C4/3.6</f>
        <v/>
      </c>
      <c r="F4" s="4">
        <f>B4/1.852</f>
        <v/>
      </c>
      <c r="G4" s="8" t="inlineStr">
        <is>
          <t>Słabe zniszczenia: łamanie gałęzi, uszkodzenia lekkich dachówek, ogrodzeń.</t>
        </is>
      </c>
    </row>
    <row r="5">
      <c r="A5" s="4" t="inlineStr">
        <is>
          <t>IF0.5</t>
        </is>
      </c>
      <c r="B5" s="4" t="n">
        <v>125</v>
      </c>
      <c r="C5" s="4" t="n">
        <v>155</v>
      </c>
      <c r="D5" s="4">
        <f>B5/3.6</f>
        <v/>
      </c>
      <c r="E5" s="4">
        <f>C5/3.6</f>
        <v/>
      </c>
      <c r="F5" s="4">
        <f>B5/1.852</f>
        <v/>
      </c>
      <c r="G5" s="8" t="inlineStr">
        <is>
          <t>Małe uszkodzenia: uszkodzenia poszyć dachowych, łamanie konarów, pojedyncze drzewa.</t>
        </is>
      </c>
    </row>
    <row r="6">
      <c r="A6" s="4" t="inlineStr">
        <is>
          <t>IF1</t>
        </is>
      </c>
      <c r="B6" s="4" t="n">
        <v>155</v>
      </c>
      <c r="C6" s="4" t="n">
        <v>190</v>
      </c>
      <c r="D6" s="4">
        <f>B6/3.6</f>
        <v/>
      </c>
      <c r="E6" s="4">
        <f>C6/3.6</f>
        <v/>
      </c>
      <c r="F6" s="4">
        <f>B6/1.852</f>
        <v/>
      </c>
      <c r="G6" s="8" t="inlineStr">
        <is>
          <t>Umiarkowane zniszczenia: zrywanie dachów z lekkich budynków, przewracanie przyczep.</t>
        </is>
      </c>
    </row>
    <row r="7">
      <c r="A7" s="4" t="inlineStr">
        <is>
          <t>IF1.5</t>
        </is>
      </c>
      <c r="B7" s="4" t="n">
        <v>190</v>
      </c>
      <c r="C7" s="4" t="n">
        <v>235</v>
      </c>
      <c r="D7" s="4">
        <f>B7/3.6</f>
        <v/>
      </c>
      <c r="E7" s="4">
        <f>C7/3.6</f>
        <v/>
      </c>
      <c r="F7" s="4">
        <f>B7/1.852</f>
        <v/>
      </c>
      <c r="G7" s="8" t="inlineStr">
        <is>
          <t>Znaczne uszkodzenia: zrywanie dachów domów mieszkalnych, masowo powalone drzewa.</t>
        </is>
      </c>
    </row>
    <row r="8">
      <c r="A8" s="4" t="inlineStr">
        <is>
          <t>IF2</t>
        </is>
      </c>
      <c r="B8" s="4" t="n">
        <v>235</v>
      </c>
      <c r="C8" s="4" t="n">
        <v>280</v>
      </c>
      <c r="D8" s="4">
        <f>B8/3.6</f>
        <v/>
      </c>
      <c r="E8" s="4">
        <f>C8/3.6</f>
        <v/>
      </c>
      <c r="F8" s="4">
        <f>B8/1.852</f>
        <v/>
      </c>
      <c r="G8" s="8" t="inlineStr">
        <is>
          <t>Ciężkie zniszczenia: zawalenie ścian osłonowych, odkształcenia konstrukcji stalowych.</t>
        </is>
      </c>
    </row>
    <row r="9">
      <c r="A9" s="4" t="inlineStr">
        <is>
          <t>IF2.5</t>
        </is>
      </c>
      <c r="B9" s="4" t="n">
        <v>280</v>
      </c>
      <c r="C9" s="4" t="n">
        <v>330</v>
      </c>
      <c r="D9" s="4">
        <f>B9/3.6</f>
        <v/>
      </c>
      <c r="E9" s="4">
        <f>C9/3.6</f>
        <v/>
      </c>
      <c r="F9" s="4">
        <f>B9/1.852</f>
        <v/>
      </c>
      <c r="G9" s="8" t="inlineStr">
        <is>
          <t>Bardzo ciężkie zniszczenia: zniszczenie wyższych pięter budynków, odkorowywanie drzew.</t>
        </is>
      </c>
    </row>
    <row r="10">
      <c r="A10" s="4" t="inlineStr">
        <is>
          <t>IF3</t>
        </is>
      </c>
      <c r="B10" s="4" t="n">
        <v>330</v>
      </c>
      <c r="C10" s="4" t="n">
        <v>385</v>
      </c>
      <c r="D10" s="4">
        <f>B10/3.6</f>
        <v/>
      </c>
      <c r="E10" s="4">
        <f>C10/3.6</f>
        <v/>
      </c>
      <c r="F10" s="4">
        <f>B10/1.852</f>
        <v/>
      </c>
      <c r="G10" s="8" t="inlineStr">
        <is>
          <t>Niszczycielskie skutki: zrównanie z ziemią budynków murowanych, unoszenie pojazdów.</t>
        </is>
      </c>
    </row>
    <row r="11">
      <c r="A11" s="4" t="inlineStr">
        <is>
          <t>IF4</t>
        </is>
      </c>
      <c r="B11" s="4" t="n">
        <v>385</v>
      </c>
      <c r="C11" s="4" t="n">
        <v>450</v>
      </c>
      <c r="D11" s="4">
        <f>B11/3.6</f>
        <v/>
      </c>
      <c r="E11" s="4">
        <f>C11/3.6</f>
        <v/>
      </c>
      <c r="F11" s="4">
        <f>B11/1.852</f>
        <v/>
      </c>
      <c r="G11" s="8" t="inlineStr">
        <is>
          <t>Katastrofalne zniszczenia: budynki zrównane z ziemią, ciśnięte ciężkie obiekty.</t>
        </is>
      </c>
    </row>
    <row r="12">
      <c r="A12" s="4" t="inlineStr">
        <is>
          <t>IF5</t>
        </is>
      </c>
      <c r="B12" s="4" t="n">
        <v>450</v>
      </c>
      <c r="C12" s="4" t="n">
        <v>600</v>
      </c>
      <c r="D12" s="4">
        <f>B12/3.6</f>
        <v/>
      </c>
      <c r="E12" s="4">
        <f>C12/3.6</f>
        <v/>
      </c>
      <c r="F12" s="4">
        <f>B12/1.852</f>
        <v/>
      </c>
      <c r="G12" s="8" t="inlineStr">
        <is>
          <t>Ekstremalna destrukcja: starcie z fundamentów, odklejanie asfaltu z dróg.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67" customWidth="1" min="3" max="3"/>
    <col width="12" customWidth="1" min="4" max="4"/>
    <col width="12" customWidth="1" min="5" max="5"/>
  </cols>
  <sheetData>
    <row r="1">
      <c r="A1" s="9" t="inlineStr">
        <is>
          <t>KALKULATOR METEOROLOGICZNY (LCL &amp; TEMPERATURA ODCZUWANA)</t>
        </is>
      </c>
    </row>
    <row r="2"/>
    <row r="3">
      <c r="A3" s="10" t="inlineStr">
        <is>
          <t>1. Estymacja wysokości podstawy chmur (LCL - Espy formula)</t>
        </is>
      </c>
    </row>
    <row r="4">
      <c r="A4" t="inlineStr">
        <is>
          <t>Temperatura (T) [°C]:</t>
        </is>
      </c>
      <c r="B4" t="n">
        <v>25</v>
      </c>
    </row>
    <row r="5">
      <c r="A5" t="inlineStr">
        <is>
          <t>Punkt rosy (Td) [°C]:</t>
        </is>
      </c>
      <c r="B5" t="n">
        <v>18</v>
      </c>
    </row>
    <row r="6">
      <c r="A6" t="inlineStr">
        <is>
          <t>Szacowana wysokość LCL [m n.p.g.]:</t>
        </is>
      </c>
      <c r="B6" s="11">
        <f>125*(B4-B5)</f>
        <v/>
      </c>
      <c r="C6" s="5" t="inlineStr">
        <is>
          <t>Wzór Espy'ego: h_LCL = 125 * (T - Td) [m]. Źródło: NOAA / Espy.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2026-07-21T18:54:45Z</dcterms:created>
  <dcterms:modified xmlns:dcterms="http://purl.org/dc/terms/" xmlns:xsi="http://www.w3.org/2001/XMLSchema-instance" xsi:type="dcterms:W3CDTF">2026-07-21T18:54:45Z</dcterms:modified>
</cp:coreProperties>
</file>